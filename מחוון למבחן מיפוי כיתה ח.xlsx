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חוון ומיפוי שאלות" sheetId="1" r:id="rId5"/>
    <sheet state="visible" name="טבלת סיכום פדגוגית" sheetId="2" r:id="rId6"/>
  </sheets>
  <definedNames/>
  <calcPr/>
</workbook>
</file>

<file path=xl/sharedStrings.xml><?xml version="1.0" encoding="utf-8"?>
<sst xmlns="http://schemas.openxmlformats.org/spreadsheetml/2006/main" count="116" uniqueCount="116">
  <si>
    <t>מבחן מיפוי במתמטיקה – כניסה לכיתה ח'</t>
  </si>
  <si>
    <t>מחוון מפורט לציון ומיפוי הישגי תלמיד</t>
  </si>
  <si>
    <t>מספר וכותרת השאלה</t>
  </si>
  <si>
    <t>הפתרון המלא והדרכים החלופיות</t>
  </si>
  <si>
    <t>מחוון מפורט ודרכי ציינון (נקודות וטעויות)</t>
  </si>
  <si>
    <t>ציון התלמיד</t>
  </si>
  <si>
    <t>תלמיד 1</t>
  </si>
  <si>
    <t>תלמיד 2</t>
  </si>
  <si>
    <t>תלמיד 3</t>
  </si>
  <si>
    <t>תלמיד 4</t>
  </si>
  <si>
    <t>תלמיד 5</t>
  </si>
  <si>
    <t>תלמיד 6</t>
  </si>
  <si>
    <t>תלמיד 7</t>
  </si>
  <si>
    <t>תלמיד 8</t>
  </si>
  <si>
    <t>תלמיד 9</t>
  </si>
  <si>
    <t>תלמיד 10</t>
  </si>
  <si>
    <t>תלמיד 11</t>
  </si>
  <si>
    <t>תלמיד 12</t>
  </si>
  <si>
    <t>תלמיד 13</t>
  </si>
  <si>
    <t>תלמיד 14</t>
  </si>
  <si>
    <t>תלמיד 15</t>
  </si>
  <si>
    <t>תלמיד 16</t>
  </si>
  <si>
    <t>תלמיד 17</t>
  </si>
  <si>
    <t>תלמיד 18</t>
  </si>
  <si>
    <t>תלמיד 19</t>
  </si>
  <si>
    <t>תלמיד 20</t>
  </si>
  <si>
    <t>תלמיד 21</t>
  </si>
  <si>
    <t>תלמיד 22</t>
  </si>
  <si>
    <t>פרק א': תחום מספרי ואלגברי (50 נקודות)</t>
  </si>
  <si>
    <t>שאלה 1, סעיף א'
סדר פעולות, חזקות ומספרים מכוונים
(6 נקודות)</t>
  </si>
  <si>
    <t>15 - 3 · (2 - 5)²
= 15 - 3 · (-3)²
= 15 - 3 · 9
= 15 - 27
= -12</t>
  </si>
  <si>
    <t>• 6 נק' – פתרון מלא ונכון, כולל הצגת דרך.
• 5 נק' – דרך נכונה לחלוטין אך טעות חישוב קלה בסוף (למשל קבלת 12 במקום 12-).
• 3 נק' – תפיסה שגויה של חזקה: חישוב ²(3-) כ- 9- (ואז קבלת 15+27=42).
• 0-2 נק' – שגיאה בסדר פעולות: ביצוע החיסור לפני הכפל (למשל 12·9). תפיסה שגויה מהותית.</t>
  </si>
  <si>
    <t>שאלה 1, סעיף ב'
סדר פעולות, שורשים וחוקי סימנים
(6 נקודות)</t>
  </si>
  <si>
    <t>√36 : (-2) - 4²
= 6 : (-2) - 16
= -3 - 16
= -19</t>
  </si>
  <si>
    <t>• 6 נק' – פתרון מלא ונכון.
• 3 נק' – טעות בחוקי סימנים: חישוב 6:(-2)=3 (במקום 3-) והגעה לתשובה 13-.
• 2 נק' – תפיסה שגויה של חזקה: חישוב 4²=8 במקום 16.
• 0 נק' – חוסר הבנה בסדר פעולות (למשל, ביצוע החיסור 2-16- לפני החילוק).</t>
  </si>
  <si>
    <t>שאלה 2, סעיף א'
פתרון משוואה לינארית
(8 נקודות)</t>
  </si>
  <si>
    <t>5(x - 2) + 3x = 3x - 10
5x - 10 + 3x = 3x - 10
8x - 10 = 3x - 10
5x = 0
x = 0</t>
  </si>
  <si>
    <t>• 8 נק' – פתרון מלא. תשובה x=0.
• 6 נק' – הגעה נכונה ל-5x=0 אך הסקת המסקנה 'אין פתרון' (בלבול נפוץ עם משוואות מסוג 5=0).
• 4 נק' – פתיחת סוגריים שגויה: התעלמות מחוק הפילוג על האיבר השני (למשל 5x-2).
• 4 נק' – טעות סימן בהעברת אגפים (למשל, רישום 10+ באגף ימין במקום 10-).</t>
  </si>
  <si>
    <t>שאלה 2, סעיף ב'
חקר טעויות ופתרון משוואה
(8 נקודות)</t>
  </si>
  <si>
    <t>משוואה: 4x + 2(x + 3) = 24
1. זיהוי הטעות (4 נק'):
התלמיד חיבר את 4x+2 לפני שביצע את הכפל בסוגריים, ובכך הפר את סדר פעולות החשבון.
2. פתרון נכון (4 נק'):
4x + 2x + 6 = 24
6x = 18
x = 3</t>
  </si>
  <si>
    <t>[חלק 1 - זיהוי הטעות (4 נק')]:
• 4 נק' – הסבר מילולי נכון ומדויק לגבי הפרת סדר הפעולות.
• 1 נק' – קביעה שהתלמיד טעה ללא הסבר מתמטי תומך.
[חלק 2 - פתרון נכון (4 נק')]:
• 4 נק' – פתרון מלא ונכון (x=3).
• 2 נק' – דרך נכונה עם טעות חישוב או העברת אגפים שגויה.</t>
  </si>
  <si>
    <t>שאלה 3
ביטויים שקולים (שאלה סגורה)
(8 נקודות)</t>
  </si>
  <si>
    <t>התשובה הנכונה: (ג) 18 - 2x
דרך הפישוט:
10 - 2x + 8 = 18 - 2x</t>
  </si>
  <si>
    <t>• 8 נק' – בחירה בתשובה (ג) והצגת דרך הפישוט הנכונה.
• 4 נק' – בחירה בתשובה הנכונה ללא הסבר או הצגת דרך.
[אבחון מסיחים ל-0 נק']:
• מסיח א' (8(x-4)): חיסור (10-2) לפני כפל. קריאה משמאל לימין.
• מסיח ב' (2-2x): טעות חוקי סימנים בכפל של 2- ב- 4-.
• מסיח ד' (8x-32): שילוב של טעות סדר פעולות וכינוס איברים לא חוקי.</t>
  </si>
  <si>
    <t>שאלה 4, סעיף א'
בעיה מילולית - בנייה ופתרון
(8 נקודות)</t>
  </si>
  <si>
    <t>נגדיר x מחיר כרטיס מבוגר.
מחיר כרטיס ילד: x - 15
משוואה מתאימה:
2x + 3(x - 15) = 230
2x + 3x - 45 = 230
5x = 275
x = 55
תשובה: מבוגר 55 ש"ח, ילד 40 ש"ח.</t>
  </si>
  <si>
    <t>• 8 נק' – בניית משוואה נכונה ופתרון מלא ותקין (מבוגר 55, ילד 40).
• 6 נק' – בניית משוואה נכונה, אך קיימת טעות חישוב בשלבי פתרונה.
• 4 נק' – בלבול בייצוג (שגיאת תרגום קלאסית): בניית המשוואה 2x + 3(x + 15) = 230 (הוספת ה-15 לילד במקום למבוגר).</t>
  </si>
  <si>
    <t>שאלה 4, סעיף ב'
בעיה מילולית - בקרת היתכנות
(6 נקודות)</t>
  </si>
  <si>
    <t>משפחת כהן: מבוגר אחד ו-3 ילדים.
חישוב עלות לפי הערכים שמצאנו:
1 · 55 + 3 · 40 = 55 + 120 = 175 ש"ח.
מסקנה: לא ייתכן ששילמו 100 ש"ח בלבד.</t>
  </si>
  <si>
    <t>• 6 נק' – הצבה נכונה של הערכים, חישוב עלות מדויק (175) ומסקנה ברורה שלא ייתכן.
• 3 נק' – קביעה נכונה ש'לא ייתכן' אך עם נימוק שגוי או ללא חישוב תומך.</t>
  </si>
  <si>
    <t>פרק ב': תחום גאומטרי ואורייני (50 נקודות)</t>
  </si>
  <si>
    <t>שאלה 5, סעיף א'
מערכת צירים - סימון נקודות
(4 נקודות)</t>
  </si>
  <si>
    <t>סימון מדויק של הנקודות על מערכת הצירים:
A(-2, 4)
B(5, 4)</t>
  </si>
  <si>
    <t>• 4 נק' – סימון מדויק ונכון של שתי הנקודות.
• 0 נק' – החלפה בין קואורדינטת x ל-y (סימון (4, 2-) ו-(4, 5)). תפיסה שגויה של סדר הקואורדינטות במישור המצולב.</t>
  </si>
  <si>
    <t>שאלה 5, סעיף ב'
מערכת צירים - מרחק בין נקודות
(4 נקודות)</t>
  </si>
  <si>
    <t>אורך הקטע AB הוא המרחק האופקי:
5 - (-2) = 7 יחידות אורך.
(או ספירה נכונה של המשבצות מ-2- עד 5)</t>
  </si>
  <si>
    <t>• 4 נק' – תשובה נכונה: 7 יחידות אורך.
• 1 נק' – חישוב שגוי כגון 5-2=3. מעיד על חוסר הבנה של מרחק העובר דרך ציר ה-y לאזור השלילי.</t>
  </si>
  <si>
    <t>שאלה 5, סעיף ג'
שטח משולש ומערכת צירים
(4 נקודות)</t>
  </si>
  <si>
    <t>הבסיס הוא AB = 7 יחידות.
השטח הנדרש הוא 14.
לפי נוסחת שטח משולש: (בסיס × גובה) / 2 = 14
(7 × גובה) / 2 = 14  =&gt;  7 × גובה = 28  =&gt;  גובה = 4.
לכן, ה-y של נקודה C צריך להיות במרחק 4 יחידות מהישר y=4 (כלומר y=8 או y=0).
נקודות אפשריות לדוגמה:
(-2, 8), (-2, 0), (5, 8), (5, 0)</t>
  </si>
  <si>
    <t>• 4 נק' – זיהוי שהגובה צריך להיות 4 יחידות וציון נקודה נכונה אחת התואמת לכך.
• 2 נק' – בחירת גובה 2 (למשל הגעה לנקודה (2, 6-)). תפיסה שגויה: התלמיד שכח לחלק ב-2 בנוסחת שטח משולש.</t>
  </si>
  <si>
    <t>שאלה 6, סעיף א'
זוויות ונימוקים גאומטריים
(6 נקודות)</t>
  </si>
  <si>
    <t>∠DOB = 40°
הנימוק הגאומטרי:
זוויות קודקודיות שוות זו לזו (בישרים נחתכים).</t>
  </si>
  <si>
    <t>• 6 נק' – תשובה מספרית נכונה (40°) יחד עם נימוק מתמטי תקני ומדויק.
• 3 נק' – תשובה מספרית נכונה אך ללא נימוק בכלל או עם נימוק שגוי מילולית/לא קשור (למשל 'כי הן מקבילות').</t>
  </si>
  <si>
    <t>שאלה 6, סעיף ב'
זוויות ונימוקים גאומטריים
(6 נקודות)</t>
  </si>
  <si>
    <t>הזוויות חלות על קו ישר (זווית שטוחה של 180°).
∠BOE = 180° - 90° - 40° = 50°</t>
  </si>
  <si>
    <t>• 6 נק' – הבנה מלאה שעל הישר חלות זווית ישרה (90°), הזווית מסעיף א' (40°) והשלמה ל-180° (תשובה: 50°).
• 4 נק' – זיהוי אסטרטגיה נכונה של השלמה ל-180° אך קיימת טעות חישובית בסוף.
• 2 נק' – קביעה שגויה המבוססת על מראה עיניים בלבד ללא ביסוס (למשל, 'זה נראה כמו חצי מ-90 אז זה 45°').</t>
  </si>
  <si>
    <t>שאלה 7, סעיף א'
חישוב שטח צורה מורכבת
(7 נקודות)</t>
  </si>
  <si>
    <t>דרך 1 (חיסור שטחים):
שטח המלבן המקורי הגדול: 10 × 8 = 80 סמ"ר.
שטח הריבוע שנגזר: 3 × 3 = 9 סמ"ר.
שטח הצורה שנותרה: 80 - 9 = 71 סמ"ר.
דרך 2 (חלוקה לתתי-מלבנים):
חלוקה אנכית או אופקית מניבה תוצאה זהה: 71 סמ"ר.</t>
  </si>
  <si>
    <t>• 7 נק' – פתרון מלא ונכון באחת הדרכים התקניות, כולל הצגת דרך וחישוב נכון.
• 3 נק' – טעות מהותית באסטרטגיה המעידה על בלבול בין מושג השטח למושג ההיקף (למשל, חיבור אורכי הצלעות במקום כפל).</t>
  </si>
  <si>
    <t>שאלה 7, סעיף ב'
חישוב היקף וחקר תפיסה שגויה
(7 נקודות)</t>
  </si>
  <si>
    <t>נשלים את אורכי הצלעות החסרות בצורה המדורגת:
הצלעות הפנימיות הן באורך 3 ס"מ כל אחת.
היקף הצורה החדשה:
10 + 8 + (10-3) + 3 + 3 + (8-3)
= 10 + 8 + 7 + 3 + 3 + 5 = 36 ס"מ.
היקף המלבן המקורי: 2 · (10 + 8) = 36 ס"מ.
מסקנה: התלמיד טועה. ההיקף נותר זהה לחלוטין (המדרגה הפנימית מפצה בדיוק על הצלעות שנגזרו).</t>
  </si>
  <si>
    <t>• 7 נק' – חישוב היקף נכון (36 ס"מ) והסבר/מסקנה מדויקת המפריכה את טענת התלמיד.
• 4 נק' – חישוב ההיקף נכון ומדויק אך ללא ניסוח מסקנה ברורה לגבי טענת התלמיד.
• 0 נק' – הסכמה מלאה עם טענת התלמיד ש'ההיקף קטן כי גזרו חתיכה'. זוהי תפיסה שגויה קלאסית של חוסר שימור היקף.</t>
  </si>
  <si>
    <t>שאלה 8, סעיף א'
קריאת גרף ואוריינות
(4 נקודות)</t>
  </si>
  <si>
    <t>מפלס המים עלה בצורה המהירה ביותר בין השעות 10:00 ל-12:00.
(השיפוע של הגרף בקטע זה הוא התלול ביותר).</t>
  </si>
  <si>
    <t>• 4 נק' – ציון טווח השעות הנכון: בין 10:00 ל-12:00.</t>
  </si>
  <si>
    <t>שאלה 8, סעיף ב'
קריאת גרף ואוריינות
(4 נקודות)</t>
  </si>
  <si>
    <t>משמעות הקטע האופקי בגרף:
מפלס המים נשאר קבוע / לא השתנה (גובה המים נשאר קבוע לאורך זמן זה).</t>
  </si>
  <si>
    <t>• 4 נק' – הסבר נכון המציין שמפלס המים נותר יציב או ללא שינוי.</t>
  </si>
  <si>
    <t>שאלה 8, סעיף ג'
חישוב קצב השתנות מתוך גרף
(4 נקודות)</t>
  </si>
  <si>
    <t>בשעה 10:00 המפלס היה 40 ס"מ.
בשעה 11:00 המפלס הגיע ל-80 ס"מ.
המים עלו ב-40 ס"מ (80 - 40) לאורך שעה אחת.
קצב העלייה: 40 ס"מ בשעה.</t>
  </si>
  <si>
    <t>• 4 נק' – חישוב מדויק וציון הקצב הנכון: 40 ס"מ בשעה (כולל יחידות מידה).
• 2 נק' – רישום התשובה '80 ס"מ' עקב הסתכלות שגויה על נקודת הסיום בלבד (בלבול בין ערך הפונקציה לקצב השינוי).</t>
  </si>
  <si>
    <t>ציון כולל במבחן (סה"כ נקודות אפשריות: 100):</t>
  </si>
  <si>
    <t>מטריצה פדגוגית וניתוח אבחוני למורה</t>
  </si>
  <si>
    <t>ריכוז יעדי למידה, איתור תפיסות שגויות וחלוקת זמנים מומלצת</t>
  </si>
  <si>
    <t>שאלה</t>
  </si>
  <si>
    <t>נושא / יעד למידה מרכזי</t>
  </si>
  <si>
    <t>ציון</t>
  </si>
  <si>
    <t>טעות נפוצה / תפיסה שגויה מאובחנת ע"י השאלה</t>
  </si>
  <si>
    <t>זמן מומלץ (דקות)</t>
  </si>
  <si>
    <t>1</t>
  </si>
  <si>
    <t>סדר פעולות, מספרים מכוונים</t>
  </si>
  <si>
    <t>חיסור לפני חזקה/כפל, שגיאות סימן בחלוקה והבנת חזקה שלילית.</t>
  </si>
  <si>
    <t>2</t>
  </si>
  <si>
    <t>פתרון משוואות וחקר טעויות</t>
  </si>
  <si>
    <t>כשל בחוק הפילוג, בלבול בין תוצאה x=0 ל'אין פתרון', והפרת סדר פעולות.</t>
  </si>
  <si>
    <t>3</t>
  </si>
  <si>
    <t>פישוט ביטויים שקולים</t>
  </si>
  <si>
    <t>קריאת הביטוי משמאל לימין ללא התייחסות למבנה האלגברי ולסדר פעולות.</t>
  </si>
  <si>
    <t>4</t>
  </si>
  <si>
    <t>בניית משוואה ובקרת תוצאה</t>
  </si>
  <si>
    <t>בניית המשוואה הפוך (שגיאת תרגום קלאסית: הוספה לגורם הגדול במקום לקטן).</t>
  </si>
  <si>
    <t>5</t>
  </si>
  <si>
    <t>מערכת צירים ושטח משולש</t>
  </si>
  <si>
    <t>החלפת קואורדינטות x ו-y, מרחק דרך האפס, ושכחת החלוקה ב-2 בנוסחת המשולש.</t>
  </si>
  <si>
    <t>6</t>
  </si>
  <si>
    <t>זוויות מיוחדות ונימוקים</t>
  </si>
  <si>
    <t>הסתמכות על מראה עיניים בלבד ללא ביסוס גאומטרי (קודקודיות וצמודות).</t>
  </si>
  <si>
    <t>7</t>
  </si>
  <si>
    <t>היקף, שטח, וקשר ביניהם</t>
  </si>
  <si>
    <t>בלבול בין שטח להיקף, ותפיסה מוטעית ש'הקטנת שטח מחייבת את הקטנת ההיקף'.</t>
  </si>
  <si>
    <t>8</t>
  </si>
  <si>
    <t>קריאת גרף ואוריינות נתונים</t>
  </si>
  <si>
    <t>בלבול בין ערך הפונקציה (גובה אבסולוטי) לבין קצב ההשתנות (שיפוע/מהירות).</t>
  </si>
  <si>
    <t>סה"כ</t>
  </si>
  <si>
    <t>סך הכל זמן משוער למבחן:</t>
  </si>
  <si>
    <t>90 דק'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</si>
</sst>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E79"/>
      <name val="Arial"/>
    </font>
    <font>
      <i/>
      <sz val="12.0"/>
      <color rgb="FF595959"/>
      <name val="Arial"/>
    </font>
    <font>
      <b/>
      <sz val="11.0"/>
      <color rgb="FFFFFFFF"/>
      <name val="Arial"/>
    </font>
    <font>
      <color theme="1"/>
      <name val="Calibri"/>
      <scheme val="minor"/>
    </font>
    <font>
      <b/>
      <sz val="12.0"/>
      <color rgb="FF1F4E79"/>
      <name val="Arial"/>
    </font>
    <font/>
    <font>
      <sz val="11.0"/>
      <color rgb="FF000000"/>
      <name val="Arial"/>
    </font>
    <font>
      <sz val="11.0"/>
      <color theme="1"/>
      <name val="Calibri"/>
    </font>
    <font>
      <b/>
      <sz val="11.0"/>
      <color rgb="FF000000"/>
      <name val="Arial"/>
    </font>
    <font>
      <i/>
      <sz val="11.0"/>
      <color rgb="FF59595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9FBFD"/>
        <bgColor rgb="FFF9FBFD"/>
      </patternFill>
    </fill>
  </fills>
  <borders count="8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medium">
        <color rgb="FF000000"/>
      </top>
      <bottom style="double">
        <color rgb="FF000000"/>
      </bottom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2" fillId="3" fontId="5" numFmtId="0" xfId="0" applyAlignment="1" applyBorder="1" applyFill="1" applyFont="1">
      <alignment horizontal="right" readingOrder="0" vertical="center"/>
    </xf>
    <xf borderId="3" fillId="0" fontId="6" numFmtId="0" xfId="0" applyBorder="1" applyFont="1"/>
    <xf borderId="4" fillId="0" fontId="6" numFmtId="0" xfId="0" applyBorder="1" applyFont="1"/>
    <xf borderId="0" fillId="0" fontId="4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top" wrapText="1"/>
    </xf>
    <xf borderId="1" fillId="0" fontId="7" numFmtId="0" xfId="0" applyAlignment="1" applyBorder="1" applyFont="1">
      <alignment horizontal="right" shrinkToFit="0" vertical="top" wrapText="1"/>
    </xf>
    <xf borderId="1" fillId="0" fontId="7" numFmtId="0" xfId="0" applyAlignment="1" applyBorder="1" applyFont="1">
      <alignment horizontal="right" readingOrder="0" shrinkToFit="0" vertical="top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top" wrapText="1"/>
    </xf>
    <xf borderId="1" fillId="5" fontId="7" numFmtId="0" xfId="0" applyAlignment="1" applyBorder="1" applyFont="1">
      <alignment horizontal="right" shrinkToFit="0" vertical="top" wrapText="1"/>
    </xf>
    <xf borderId="1" fillId="5" fontId="7" numFmtId="0" xfId="0" applyAlignment="1" applyBorder="1" applyFont="1">
      <alignment horizontal="right" readingOrder="0" shrinkToFit="0" vertical="top" wrapText="1"/>
    </xf>
    <xf borderId="1" fillId="4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readingOrder="0"/>
    </xf>
    <xf borderId="6" fillId="3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right" readingOrder="0" vertical="center"/>
    </xf>
    <xf borderId="1" fillId="0" fontId="7" numFmtId="0" xfId="0" applyAlignment="1" applyBorder="1" applyFont="1">
      <alignment horizontal="right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right" readingOrder="0" vertical="center"/>
    </xf>
    <xf borderId="1" fillId="5" fontId="7" numFmtId="0" xfId="0" applyAlignment="1" applyBorder="1" applyFont="1">
      <alignment horizontal="right" readingOrder="0" shrinkToFit="0" vertical="center" wrapText="1"/>
    </xf>
    <xf borderId="7" fillId="3" fontId="9" numFmtId="0" xfId="0" applyAlignment="1" applyBorder="1" applyFont="1">
      <alignment horizontal="center" readingOrder="0" shrinkToFit="0" vertical="center" wrapText="1"/>
    </xf>
    <xf borderId="7" fillId="3" fontId="9" numFmtId="0" xfId="0" applyBorder="1" applyFont="1"/>
    <xf borderId="7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5.0"/>
    <col customWidth="1" min="2" max="2" width="38.0"/>
    <col customWidth="1" min="3" max="3" width="55.0"/>
    <col customWidth="1" min="4" max="4" width="16.0"/>
    <col customWidth="1" min="5" max="34" width="8.71"/>
  </cols>
  <sheetData>
    <row r="2">
      <c r="A2" s="1" t="s">
        <v>0</v>
      </c>
    </row>
    <row r="3">
      <c r="A3" s="2" t="s">
        <v>1</v>
      </c>
    </row>
    <row r="5" ht="27.75" customHeight="1">
      <c r="A5" s="3" t="s">
        <v>2</v>
      </c>
      <c r="B5" s="3" t="s">
        <v>3</v>
      </c>
      <c r="C5" s="3" t="s">
        <v>4</v>
      </c>
      <c r="D5" s="3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/>
      <c r="AB5" s="4"/>
      <c r="AC5" s="4"/>
      <c r="AD5" s="4"/>
      <c r="AE5" s="4"/>
      <c r="AF5" s="4"/>
      <c r="AG5" s="4"/>
      <c r="AH5" s="4"/>
    </row>
    <row r="6" ht="24.0" customHeight="1">
      <c r="A6" s="5" t="s">
        <v>28</v>
      </c>
      <c r="B6" s="6"/>
      <c r="C6" s="6"/>
      <c r="D6" s="7"/>
      <c r="E6" s="8">
        <v>6.0</v>
      </c>
      <c r="F6" s="8">
        <v>6.0</v>
      </c>
      <c r="G6" s="8">
        <v>6.0</v>
      </c>
      <c r="H6" s="8">
        <v>6.0</v>
      </c>
      <c r="I6" s="8">
        <v>6.0</v>
      </c>
      <c r="J6" s="8">
        <v>5.0</v>
      </c>
      <c r="K6" s="8">
        <v>6.0</v>
      </c>
      <c r="L6" s="8">
        <v>6.0</v>
      </c>
      <c r="M6" s="8">
        <v>6.0</v>
      </c>
      <c r="N6" s="8">
        <v>5.0</v>
      </c>
      <c r="O6" s="8">
        <v>6.0</v>
      </c>
      <c r="P6" s="8">
        <v>3.0</v>
      </c>
      <c r="Q6" s="8">
        <v>6.0</v>
      </c>
      <c r="R6" s="8">
        <v>6.0</v>
      </c>
      <c r="S6" s="8">
        <v>6.0</v>
      </c>
      <c r="T6" s="8">
        <v>6.0</v>
      </c>
      <c r="U6" s="8">
        <v>5.0</v>
      </c>
      <c r="V6" s="8">
        <v>6.0</v>
      </c>
      <c r="W6" s="8">
        <v>5.0</v>
      </c>
      <c r="X6" s="8">
        <v>6.0</v>
      </c>
      <c r="Y6" s="8">
        <v>6.0</v>
      </c>
      <c r="Z6" s="8">
        <v>5.0</v>
      </c>
      <c r="AA6" s="8">
        <v>6.0</v>
      </c>
      <c r="AB6" s="8">
        <v>5.0</v>
      </c>
      <c r="AC6" s="8">
        <v>6.0</v>
      </c>
      <c r="AD6" s="8">
        <v>6.0</v>
      </c>
      <c r="AE6" s="8">
        <v>5.0</v>
      </c>
      <c r="AF6" s="8">
        <v>3.0</v>
      </c>
      <c r="AG6" s="8">
        <v>6.0</v>
      </c>
      <c r="AH6" s="8">
        <v>5.0</v>
      </c>
    </row>
    <row r="7" ht="109.5" customHeight="1">
      <c r="A7" s="9" t="s">
        <v>29</v>
      </c>
      <c r="B7" s="10" t="s">
        <v>30</v>
      </c>
      <c r="C7" s="11" t="s">
        <v>31</v>
      </c>
      <c r="D7" s="12">
        <v>5.0</v>
      </c>
      <c r="E7" s="8">
        <v>6.0</v>
      </c>
      <c r="F7" s="8">
        <v>6.0</v>
      </c>
      <c r="G7" s="8">
        <v>3.0</v>
      </c>
      <c r="H7" s="8">
        <v>6.0</v>
      </c>
      <c r="I7" s="8">
        <v>3.0</v>
      </c>
      <c r="J7" s="8">
        <v>3.0</v>
      </c>
      <c r="K7" s="8">
        <v>6.0</v>
      </c>
      <c r="L7" s="8">
        <v>2.0</v>
      </c>
      <c r="M7" s="8">
        <v>6.0</v>
      </c>
      <c r="N7" s="8">
        <v>6.0</v>
      </c>
      <c r="O7" s="8">
        <v>3.0</v>
      </c>
      <c r="P7" s="8">
        <v>2.0</v>
      </c>
      <c r="Q7" s="8">
        <v>6.0</v>
      </c>
      <c r="R7" s="8">
        <v>6.0</v>
      </c>
      <c r="S7" s="8">
        <v>2.0</v>
      </c>
      <c r="T7" s="8">
        <v>6.0</v>
      </c>
      <c r="U7" s="8">
        <v>3.0</v>
      </c>
      <c r="V7" s="8">
        <v>6.0</v>
      </c>
      <c r="W7" s="8">
        <v>2.0</v>
      </c>
      <c r="X7" s="8">
        <v>6.0</v>
      </c>
      <c r="Y7" s="8">
        <v>3.0</v>
      </c>
      <c r="Z7" s="8">
        <v>3.0</v>
      </c>
      <c r="AA7" s="8">
        <v>6.0</v>
      </c>
      <c r="AB7" s="8">
        <v>2.0</v>
      </c>
      <c r="AC7" s="8">
        <v>6.0</v>
      </c>
      <c r="AD7" s="8">
        <v>6.0</v>
      </c>
      <c r="AE7" s="8">
        <v>3.0</v>
      </c>
      <c r="AF7" s="8">
        <v>2.0</v>
      </c>
      <c r="AG7" s="8">
        <v>6.0</v>
      </c>
      <c r="AH7" s="8">
        <v>3.0</v>
      </c>
    </row>
    <row r="8" ht="109.5" customHeight="1">
      <c r="A8" s="13" t="s">
        <v>32</v>
      </c>
      <c r="B8" s="14" t="s">
        <v>33</v>
      </c>
      <c r="C8" s="15" t="s">
        <v>34</v>
      </c>
      <c r="D8" s="12">
        <v>6.0</v>
      </c>
      <c r="E8" s="8">
        <v>8.0</v>
      </c>
      <c r="F8" s="8">
        <v>8.0</v>
      </c>
      <c r="G8" s="8">
        <v>6.0</v>
      </c>
      <c r="H8" s="8">
        <v>8.0</v>
      </c>
      <c r="I8" s="8">
        <v>8.0</v>
      </c>
      <c r="J8" s="8">
        <v>4.0</v>
      </c>
      <c r="K8" s="8">
        <v>8.0</v>
      </c>
      <c r="L8" s="8">
        <v>4.0</v>
      </c>
      <c r="M8" s="8">
        <v>6.0</v>
      </c>
      <c r="N8" s="8">
        <v>6.0</v>
      </c>
      <c r="O8" s="8">
        <v>8.0</v>
      </c>
      <c r="P8" s="8">
        <v>4.0</v>
      </c>
      <c r="Q8" s="8">
        <v>8.0</v>
      </c>
      <c r="R8" s="8">
        <v>8.0</v>
      </c>
      <c r="S8" s="8">
        <v>4.0</v>
      </c>
      <c r="T8" s="8">
        <v>8.0</v>
      </c>
      <c r="U8" s="8">
        <v>8.0</v>
      </c>
      <c r="V8" s="8">
        <v>6.0</v>
      </c>
      <c r="W8" s="8">
        <v>6.0</v>
      </c>
      <c r="X8" s="8">
        <v>8.0</v>
      </c>
      <c r="Y8" s="8">
        <v>6.0</v>
      </c>
      <c r="Z8" s="8">
        <v>8.0</v>
      </c>
      <c r="AA8" s="8">
        <v>8.0</v>
      </c>
      <c r="AB8" s="8">
        <v>4.0</v>
      </c>
      <c r="AC8" s="8">
        <v>6.0</v>
      </c>
      <c r="AD8" s="8">
        <v>6.0</v>
      </c>
      <c r="AE8" s="8">
        <v>6.0</v>
      </c>
      <c r="AF8" s="8">
        <v>4.0</v>
      </c>
      <c r="AG8" s="8">
        <v>6.0</v>
      </c>
      <c r="AH8" s="8">
        <v>6.0</v>
      </c>
    </row>
    <row r="9" ht="109.5" customHeight="1">
      <c r="A9" s="9" t="s">
        <v>35</v>
      </c>
      <c r="B9" s="10" t="s">
        <v>36</v>
      </c>
      <c r="C9" s="11" t="s">
        <v>37</v>
      </c>
      <c r="D9" s="16"/>
      <c r="E9" s="8">
        <v>8.0</v>
      </c>
      <c r="F9" s="8">
        <v>8.0</v>
      </c>
      <c r="G9" s="8">
        <v>6.0</v>
      </c>
      <c r="H9" s="8">
        <v>8.0</v>
      </c>
      <c r="I9" s="8">
        <v>8.0</v>
      </c>
      <c r="J9" s="8">
        <v>6.0</v>
      </c>
      <c r="K9" s="8">
        <v>8.0</v>
      </c>
      <c r="L9" s="8">
        <v>5.0</v>
      </c>
      <c r="M9" s="8">
        <v>8.0</v>
      </c>
      <c r="N9" s="8">
        <v>6.0</v>
      </c>
      <c r="O9" s="8">
        <v>6.0</v>
      </c>
      <c r="P9" s="8">
        <v>3.0</v>
      </c>
      <c r="Q9" s="8">
        <v>8.0</v>
      </c>
      <c r="R9" s="8">
        <v>8.0</v>
      </c>
      <c r="S9" s="8">
        <v>4.0</v>
      </c>
      <c r="T9" s="8">
        <v>8.0</v>
      </c>
      <c r="U9" s="8">
        <v>6.0</v>
      </c>
      <c r="V9" s="8">
        <v>8.0</v>
      </c>
      <c r="W9" s="8">
        <v>4.0</v>
      </c>
      <c r="X9" s="8">
        <v>8.0</v>
      </c>
      <c r="Y9" s="8">
        <v>6.0</v>
      </c>
      <c r="Z9" s="8">
        <v>6.0</v>
      </c>
      <c r="AA9" s="8">
        <v>8.0</v>
      </c>
      <c r="AB9" s="8">
        <v>5.0</v>
      </c>
      <c r="AC9" s="8">
        <v>8.0</v>
      </c>
      <c r="AD9" s="8">
        <v>8.0</v>
      </c>
      <c r="AE9" s="8">
        <v>5.0</v>
      </c>
      <c r="AF9" s="8">
        <v>5.0</v>
      </c>
      <c r="AG9" s="8">
        <v>8.0</v>
      </c>
      <c r="AH9" s="8">
        <v>6.0</v>
      </c>
    </row>
    <row r="10" ht="109.5" customHeight="1">
      <c r="A10" s="13" t="s">
        <v>38</v>
      </c>
      <c r="B10" s="15" t="s">
        <v>39</v>
      </c>
      <c r="C10" s="15" t="s">
        <v>40</v>
      </c>
      <c r="D10" s="16"/>
      <c r="E10" s="8">
        <v>8.0</v>
      </c>
      <c r="F10" s="8">
        <v>8.0</v>
      </c>
      <c r="G10" s="8">
        <v>4.0</v>
      </c>
      <c r="H10" s="8">
        <v>8.0</v>
      </c>
      <c r="I10" s="8">
        <v>8.0</v>
      </c>
      <c r="J10" s="8">
        <v>4.0</v>
      </c>
      <c r="K10" s="8">
        <v>8.0</v>
      </c>
      <c r="L10" s="8">
        <v>4.0</v>
      </c>
      <c r="M10" s="8">
        <v>8.0</v>
      </c>
      <c r="N10" s="8">
        <v>4.0</v>
      </c>
      <c r="O10" s="8">
        <v>8.0</v>
      </c>
      <c r="P10" s="8">
        <v>0.0</v>
      </c>
      <c r="Q10" s="8">
        <v>8.0</v>
      </c>
      <c r="R10" s="8">
        <v>8.0</v>
      </c>
      <c r="S10" s="8">
        <v>8.0</v>
      </c>
      <c r="T10" s="8">
        <v>8.0</v>
      </c>
      <c r="U10" s="8">
        <v>8.0</v>
      </c>
      <c r="V10" s="8">
        <v>4.0</v>
      </c>
      <c r="W10" s="8">
        <v>0.0</v>
      </c>
      <c r="X10" s="8">
        <v>8.0</v>
      </c>
      <c r="Y10" s="8">
        <v>4.0</v>
      </c>
      <c r="Z10" s="8">
        <v>4.0</v>
      </c>
      <c r="AA10" s="8">
        <v>8.0</v>
      </c>
      <c r="AB10" s="8">
        <v>0.0</v>
      </c>
      <c r="AC10" s="8">
        <v>8.0</v>
      </c>
      <c r="AD10" s="8">
        <v>8.0</v>
      </c>
      <c r="AE10" s="8">
        <v>8.0</v>
      </c>
      <c r="AF10" s="8">
        <v>4.0</v>
      </c>
      <c r="AG10" s="8">
        <v>8.0</v>
      </c>
      <c r="AH10" s="8">
        <v>8.0</v>
      </c>
    </row>
    <row r="11" ht="109.5" customHeight="1">
      <c r="A11" s="9" t="s">
        <v>41</v>
      </c>
      <c r="B11" s="11" t="s">
        <v>42</v>
      </c>
      <c r="C11" s="11" t="s">
        <v>43</v>
      </c>
      <c r="D11" s="16"/>
      <c r="E11" s="8">
        <v>8.0</v>
      </c>
      <c r="F11" s="8">
        <v>8.0</v>
      </c>
      <c r="G11" s="8">
        <v>8.0</v>
      </c>
      <c r="H11" s="8">
        <v>8.0</v>
      </c>
      <c r="I11" s="8">
        <v>6.0</v>
      </c>
      <c r="J11" s="8">
        <v>6.0</v>
      </c>
      <c r="K11" s="8">
        <v>8.0</v>
      </c>
      <c r="L11" s="8">
        <v>4.0</v>
      </c>
      <c r="M11" s="8">
        <v>8.0</v>
      </c>
      <c r="N11" s="8">
        <v>6.0</v>
      </c>
      <c r="O11" s="8">
        <v>8.0</v>
      </c>
      <c r="P11" s="8">
        <v>4.0</v>
      </c>
      <c r="Q11" s="8">
        <v>8.0</v>
      </c>
      <c r="R11" s="8">
        <v>6.0</v>
      </c>
      <c r="S11" s="8">
        <v>4.0</v>
      </c>
      <c r="T11" s="8">
        <v>8.0</v>
      </c>
      <c r="U11" s="8">
        <v>4.0</v>
      </c>
      <c r="V11" s="8">
        <v>6.0</v>
      </c>
      <c r="W11" s="8">
        <v>4.0</v>
      </c>
      <c r="X11" s="8">
        <v>8.0</v>
      </c>
      <c r="Y11" s="8">
        <v>6.0</v>
      </c>
      <c r="Z11" s="8">
        <v>6.0</v>
      </c>
      <c r="AA11" s="8">
        <v>8.0</v>
      </c>
      <c r="AB11" s="8">
        <v>4.0</v>
      </c>
      <c r="AC11" s="8">
        <v>8.0</v>
      </c>
      <c r="AD11" s="8">
        <v>8.0</v>
      </c>
      <c r="AE11" s="8">
        <v>6.0</v>
      </c>
      <c r="AF11" s="8">
        <v>6.0</v>
      </c>
      <c r="AG11" s="8">
        <v>8.0</v>
      </c>
      <c r="AH11" s="8">
        <v>6.0</v>
      </c>
    </row>
    <row r="12" ht="109.5" customHeight="1">
      <c r="A12" s="13" t="s">
        <v>44</v>
      </c>
      <c r="B12" s="15" t="s">
        <v>45</v>
      </c>
      <c r="C12" s="15" t="s">
        <v>46</v>
      </c>
      <c r="D12" s="16"/>
      <c r="E12" s="8">
        <v>6.0</v>
      </c>
      <c r="F12" s="8">
        <v>3.0</v>
      </c>
      <c r="G12" s="8">
        <v>3.0</v>
      </c>
      <c r="H12" s="8">
        <v>6.0</v>
      </c>
      <c r="I12" s="8">
        <v>3.0</v>
      </c>
      <c r="J12" s="8">
        <v>3.0</v>
      </c>
      <c r="K12" s="8">
        <v>6.0</v>
      </c>
      <c r="L12" s="8">
        <v>0.0</v>
      </c>
      <c r="M12" s="8">
        <v>6.0</v>
      </c>
      <c r="N12" s="8">
        <v>3.0</v>
      </c>
      <c r="O12" s="8">
        <v>6.0</v>
      </c>
      <c r="P12" s="8">
        <v>0.0</v>
      </c>
      <c r="Q12" s="8">
        <v>6.0</v>
      </c>
      <c r="R12" s="8">
        <v>6.0</v>
      </c>
      <c r="S12" s="8">
        <v>0.0</v>
      </c>
      <c r="T12" s="8">
        <v>6.0</v>
      </c>
      <c r="U12" s="8">
        <v>3.0</v>
      </c>
      <c r="V12" s="8">
        <v>6.0</v>
      </c>
      <c r="W12" s="8">
        <v>0.0</v>
      </c>
      <c r="X12" s="8">
        <v>3.0</v>
      </c>
      <c r="Y12" s="8">
        <v>3.0</v>
      </c>
      <c r="Z12" s="8">
        <v>3.0</v>
      </c>
      <c r="AA12" s="8">
        <v>6.0</v>
      </c>
      <c r="AB12" s="8">
        <v>0.0</v>
      </c>
      <c r="AC12" s="8">
        <v>3.0</v>
      </c>
      <c r="AD12" s="8">
        <v>3.0</v>
      </c>
      <c r="AE12" s="8">
        <v>6.0</v>
      </c>
      <c r="AF12" s="8">
        <v>0.0</v>
      </c>
      <c r="AG12" s="8">
        <v>6.0</v>
      </c>
      <c r="AH12" s="8">
        <v>3.0</v>
      </c>
    </row>
    <row r="13" ht="109.5" customHeight="1">
      <c r="A13" s="9" t="s">
        <v>47</v>
      </c>
      <c r="B13" s="11" t="s">
        <v>48</v>
      </c>
      <c r="C13" s="11" t="s">
        <v>49</v>
      </c>
      <c r="D13" s="16"/>
      <c r="E13" s="8">
        <v>4.0</v>
      </c>
      <c r="F13" s="8">
        <v>4.0</v>
      </c>
      <c r="G13" s="8">
        <v>4.0</v>
      </c>
      <c r="H13" s="8">
        <v>4.0</v>
      </c>
      <c r="I13" s="8">
        <v>4.0</v>
      </c>
      <c r="J13" s="8">
        <v>4.0</v>
      </c>
      <c r="K13" s="8">
        <v>4.0</v>
      </c>
      <c r="L13" s="8">
        <v>4.0</v>
      </c>
      <c r="M13" s="8">
        <v>4.0</v>
      </c>
      <c r="N13" s="8">
        <v>4.0</v>
      </c>
      <c r="O13" s="8">
        <v>4.0</v>
      </c>
      <c r="P13" s="8">
        <v>4.0</v>
      </c>
      <c r="Q13" s="8">
        <v>4.0</v>
      </c>
      <c r="R13" s="8">
        <v>4.0</v>
      </c>
      <c r="S13" s="8">
        <v>0.0</v>
      </c>
      <c r="T13" s="8">
        <v>4.0</v>
      </c>
      <c r="U13" s="8">
        <v>4.0</v>
      </c>
      <c r="V13" s="8">
        <v>4.0</v>
      </c>
      <c r="W13" s="8">
        <v>0.0</v>
      </c>
      <c r="X13" s="8">
        <v>4.0</v>
      </c>
      <c r="Y13" s="8">
        <v>4.0</v>
      </c>
      <c r="Z13" s="8">
        <v>4.0</v>
      </c>
      <c r="AA13" s="8">
        <v>4.0</v>
      </c>
      <c r="AB13" s="8">
        <v>4.0</v>
      </c>
      <c r="AC13" s="8">
        <v>4.0</v>
      </c>
      <c r="AD13" s="8">
        <v>4.0</v>
      </c>
      <c r="AE13" s="8">
        <v>4.0</v>
      </c>
      <c r="AF13" s="8">
        <v>4.0</v>
      </c>
      <c r="AG13" s="8">
        <v>4.0</v>
      </c>
      <c r="AH13" s="8">
        <v>4.0</v>
      </c>
    </row>
    <row r="14" ht="24.0" customHeight="1">
      <c r="A14" s="5" t="s">
        <v>50</v>
      </c>
      <c r="B14" s="6"/>
      <c r="C14" s="6"/>
      <c r="D14" s="7"/>
      <c r="E14" s="8">
        <v>4.0</v>
      </c>
      <c r="F14" s="8">
        <v>4.0</v>
      </c>
      <c r="G14" s="8">
        <v>1.0</v>
      </c>
      <c r="H14" s="8">
        <v>4.0</v>
      </c>
      <c r="I14" s="8">
        <v>1.0</v>
      </c>
      <c r="J14" s="8">
        <v>0.0</v>
      </c>
      <c r="K14" s="8">
        <v>4.0</v>
      </c>
      <c r="L14" s="8">
        <v>1.0</v>
      </c>
      <c r="M14" s="8">
        <v>4.0</v>
      </c>
      <c r="N14" s="8">
        <v>1.0</v>
      </c>
      <c r="O14" s="8">
        <v>1.0</v>
      </c>
      <c r="P14" s="8">
        <v>0.0</v>
      </c>
      <c r="Q14" s="8">
        <v>4.0</v>
      </c>
      <c r="R14" s="8">
        <v>1.0</v>
      </c>
      <c r="S14" s="8">
        <v>1.0</v>
      </c>
      <c r="T14" s="8">
        <v>4.0</v>
      </c>
      <c r="U14" s="8">
        <v>1.0</v>
      </c>
      <c r="V14" s="8">
        <v>1.0</v>
      </c>
      <c r="W14" s="8">
        <v>0.0</v>
      </c>
      <c r="X14" s="8">
        <v>4.0</v>
      </c>
      <c r="Y14" s="8">
        <v>1.0</v>
      </c>
      <c r="Z14" s="8">
        <v>1.0</v>
      </c>
      <c r="AA14" s="8">
        <v>4.0</v>
      </c>
      <c r="AB14" s="8">
        <v>0.0</v>
      </c>
      <c r="AC14" s="8">
        <v>1.0</v>
      </c>
      <c r="AD14" s="8">
        <v>1.0</v>
      </c>
      <c r="AE14" s="8">
        <v>1.0</v>
      </c>
      <c r="AF14" s="8">
        <v>0.0</v>
      </c>
      <c r="AG14" s="8">
        <v>4.0</v>
      </c>
      <c r="AH14" s="8">
        <v>0.0</v>
      </c>
    </row>
    <row r="15" ht="109.5" customHeight="1">
      <c r="A15" s="13" t="s">
        <v>51</v>
      </c>
      <c r="B15" s="15" t="s">
        <v>52</v>
      </c>
      <c r="C15" s="15" t="s">
        <v>53</v>
      </c>
      <c r="D15" s="16"/>
      <c r="E15" s="8">
        <v>4.0</v>
      </c>
      <c r="F15" s="8">
        <v>2.0</v>
      </c>
      <c r="G15" s="8">
        <v>4.0</v>
      </c>
      <c r="H15" s="8">
        <v>4.0</v>
      </c>
      <c r="I15" s="8">
        <v>2.0</v>
      </c>
      <c r="J15" s="8">
        <v>2.0</v>
      </c>
      <c r="K15" s="8">
        <v>4.0</v>
      </c>
      <c r="L15" s="8">
        <v>2.0</v>
      </c>
      <c r="M15" s="8">
        <v>4.0</v>
      </c>
      <c r="N15" s="8">
        <v>2.0</v>
      </c>
      <c r="O15" s="8">
        <v>2.0</v>
      </c>
      <c r="P15" s="8">
        <v>0.0</v>
      </c>
      <c r="Q15" s="8">
        <v>2.0</v>
      </c>
      <c r="R15" s="8">
        <v>2.0</v>
      </c>
      <c r="S15" s="8">
        <v>0.0</v>
      </c>
      <c r="T15" s="8">
        <v>4.0</v>
      </c>
      <c r="U15" s="8">
        <v>2.0</v>
      </c>
      <c r="V15" s="8">
        <v>2.0</v>
      </c>
      <c r="W15" s="8">
        <v>0.0</v>
      </c>
      <c r="X15" s="8">
        <v>2.0</v>
      </c>
      <c r="Y15" s="8">
        <v>2.0</v>
      </c>
      <c r="Z15" s="8">
        <v>0.0</v>
      </c>
      <c r="AA15" s="8">
        <v>4.0</v>
      </c>
      <c r="AB15" s="8">
        <v>0.0</v>
      </c>
      <c r="AC15" s="8">
        <v>2.0</v>
      </c>
      <c r="AD15" s="8">
        <v>4.0</v>
      </c>
      <c r="AE15" s="8">
        <v>2.0</v>
      </c>
      <c r="AF15" s="8">
        <v>0.0</v>
      </c>
      <c r="AG15" s="8">
        <v>0.0</v>
      </c>
      <c r="AH15" s="8">
        <v>2.0</v>
      </c>
    </row>
    <row r="16" ht="109.5" customHeight="1">
      <c r="A16" s="9" t="s">
        <v>54</v>
      </c>
      <c r="B16" s="11" t="s">
        <v>55</v>
      </c>
      <c r="C16" s="11" t="s">
        <v>56</v>
      </c>
      <c r="D16" s="16"/>
      <c r="E16" s="8">
        <v>6.0</v>
      </c>
      <c r="F16" s="8">
        <v>6.0</v>
      </c>
      <c r="G16" s="8">
        <v>3.0</v>
      </c>
      <c r="H16" s="8">
        <v>6.0</v>
      </c>
      <c r="I16" s="8">
        <v>3.0</v>
      </c>
      <c r="J16" s="8">
        <v>0.0</v>
      </c>
      <c r="K16" s="8">
        <v>6.0</v>
      </c>
      <c r="L16" s="8">
        <v>0.0</v>
      </c>
      <c r="M16" s="8">
        <v>6.0</v>
      </c>
      <c r="N16" s="8">
        <v>3.0</v>
      </c>
      <c r="O16" s="8">
        <v>3.0</v>
      </c>
      <c r="P16" s="8">
        <v>0.0</v>
      </c>
      <c r="Q16" s="8">
        <v>6.0</v>
      </c>
      <c r="R16" s="8">
        <v>3.0</v>
      </c>
      <c r="S16" s="8">
        <v>3.0</v>
      </c>
      <c r="T16" s="8">
        <v>6.0</v>
      </c>
      <c r="U16" s="8">
        <v>3.0</v>
      </c>
      <c r="V16" s="8">
        <v>3.0</v>
      </c>
      <c r="W16" s="8">
        <v>0.0</v>
      </c>
      <c r="X16" s="8">
        <v>6.0</v>
      </c>
      <c r="Y16" s="8">
        <v>6.0</v>
      </c>
      <c r="Z16" s="8">
        <v>3.0</v>
      </c>
      <c r="AA16" s="8">
        <v>6.0</v>
      </c>
      <c r="AB16" s="8">
        <v>0.0</v>
      </c>
      <c r="AC16" s="8">
        <v>6.0</v>
      </c>
      <c r="AD16" s="8">
        <v>6.0</v>
      </c>
      <c r="AE16" s="8">
        <v>3.0</v>
      </c>
      <c r="AF16" s="8">
        <v>0.0</v>
      </c>
      <c r="AG16" s="8">
        <v>3.0</v>
      </c>
      <c r="AH16" s="8">
        <v>3.0</v>
      </c>
    </row>
    <row r="17" ht="109.5" customHeight="1">
      <c r="A17" s="13" t="s">
        <v>57</v>
      </c>
      <c r="B17" s="15" t="s">
        <v>58</v>
      </c>
      <c r="C17" s="15" t="s">
        <v>59</v>
      </c>
      <c r="D17" s="16"/>
      <c r="E17" s="8">
        <v>6.0</v>
      </c>
      <c r="F17" s="8">
        <v>6.0</v>
      </c>
      <c r="G17" s="8">
        <v>6.0</v>
      </c>
      <c r="H17" s="8">
        <v>6.0</v>
      </c>
      <c r="I17" s="8">
        <v>4.0</v>
      </c>
      <c r="J17" s="8">
        <v>2.0</v>
      </c>
      <c r="K17" s="8">
        <v>6.0</v>
      </c>
      <c r="L17" s="8">
        <v>2.0</v>
      </c>
      <c r="M17" s="8">
        <v>6.0</v>
      </c>
      <c r="N17" s="8">
        <v>4.0</v>
      </c>
      <c r="O17" s="8">
        <v>4.0</v>
      </c>
      <c r="P17" s="8">
        <v>0.0</v>
      </c>
      <c r="Q17" s="8">
        <v>6.0</v>
      </c>
      <c r="R17" s="8">
        <v>4.0</v>
      </c>
      <c r="S17" s="8">
        <v>2.0</v>
      </c>
      <c r="T17" s="8">
        <v>6.0</v>
      </c>
      <c r="U17" s="8">
        <v>4.0</v>
      </c>
      <c r="V17" s="8">
        <v>6.0</v>
      </c>
      <c r="W17" s="8">
        <v>4.0</v>
      </c>
      <c r="X17" s="8">
        <v>4.0</v>
      </c>
      <c r="Y17" s="8">
        <v>4.0</v>
      </c>
      <c r="Z17" s="8">
        <v>4.0</v>
      </c>
      <c r="AA17" s="8">
        <v>6.0</v>
      </c>
      <c r="AB17" s="8">
        <v>2.0</v>
      </c>
      <c r="AC17" s="8">
        <v>4.0</v>
      </c>
      <c r="AD17" s="8">
        <v>6.0</v>
      </c>
      <c r="AE17" s="8">
        <v>4.0</v>
      </c>
      <c r="AF17" s="8">
        <v>2.0</v>
      </c>
      <c r="AG17" s="8">
        <v>6.0</v>
      </c>
      <c r="AH17" s="8">
        <v>4.0</v>
      </c>
    </row>
    <row r="18" ht="109.5" customHeight="1">
      <c r="A18" s="9" t="s">
        <v>60</v>
      </c>
      <c r="B18" s="11" t="s">
        <v>61</v>
      </c>
      <c r="C18" s="11" t="s">
        <v>62</v>
      </c>
      <c r="D18" s="16"/>
      <c r="E18" s="8">
        <v>7.0</v>
      </c>
      <c r="F18" s="8">
        <v>7.0</v>
      </c>
      <c r="G18" s="8">
        <v>0.0</v>
      </c>
      <c r="H18" s="8">
        <v>3.0</v>
      </c>
      <c r="I18" s="8">
        <v>3.0</v>
      </c>
      <c r="J18" s="8">
        <v>0.0</v>
      </c>
      <c r="K18" s="8">
        <v>3.0</v>
      </c>
      <c r="L18" s="8">
        <v>0.0</v>
      </c>
      <c r="M18" s="8">
        <v>7.0</v>
      </c>
      <c r="N18" s="8">
        <v>3.0</v>
      </c>
      <c r="O18" s="8">
        <v>3.0</v>
      </c>
      <c r="P18" s="8">
        <v>0.0</v>
      </c>
      <c r="Q18" s="8">
        <v>7.0</v>
      </c>
      <c r="R18" s="8">
        <v>3.0</v>
      </c>
      <c r="S18" s="8">
        <v>0.0</v>
      </c>
      <c r="T18" s="8">
        <v>7.0</v>
      </c>
      <c r="U18" s="8">
        <v>3.0</v>
      </c>
      <c r="V18" s="8">
        <v>3.0</v>
      </c>
      <c r="W18" s="8">
        <v>0.0</v>
      </c>
      <c r="X18" s="8">
        <v>7.0</v>
      </c>
      <c r="Y18" s="8">
        <v>0.0</v>
      </c>
      <c r="Z18" s="8">
        <v>0.0</v>
      </c>
      <c r="AA18" s="8">
        <v>7.0</v>
      </c>
      <c r="AB18" s="8">
        <v>0.0</v>
      </c>
      <c r="AC18" s="8">
        <v>0.0</v>
      </c>
      <c r="AD18" s="8">
        <v>7.0</v>
      </c>
      <c r="AE18" s="8">
        <v>0.0</v>
      </c>
      <c r="AF18" s="8">
        <v>0.0</v>
      </c>
      <c r="AG18" s="8">
        <v>7.0</v>
      </c>
      <c r="AH18" s="8">
        <v>0.0</v>
      </c>
    </row>
    <row r="19" ht="109.5" customHeight="1">
      <c r="A19" s="13" t="s">
        <v>63</v>
      </c>
      <c r="B19" s="15" t="s">
        <v>64</v>
      </c>
      <c r="C19" s="15" t="s">
        <v>65</v>
      </c>
      <c r="D19" s="16"/>
      <c r="E19" s="8">
        <v>7.0</v>
      </c>
      <c r="F19" s="8">
        <v>7.0</v>
      </c>
      <c r="G19" s="8">
        <v>7.0</v>
      </c>
      <c r="H19" s="8">
        <v>7.0</v>
      </c>
      <c r="I19" s="8">
        <v>4.0</v>
      </c>
      <c r="J19" s="8">
        <v>0.0</v>
      </c>
      <c r="K19" s="8">
        <v>7.0</v>
      </c>
      <c r="L19" s="8">
        <v>0.0</v>
      </c>
      <c r="M19" s="8">
        <v>7.0</v>
      </c>
      <c r="N19" s="8">
        <v>4.0</v>
      </c>
      <c r="O19" s="8">
        <v>7.0</v>
      </c>
      <c r="P19" s="8">
        <v>0.0</v>
      </c>
      <c r="Q19" s="8">
        <v>7.0</v>
      </c>
      <c r="R19" s="8">
        <v>4.0</v>
      </c>
      <c r="S19" s="8">
        <v>4.0</v>
      </c>
      <c r="T19" s="8">
        <v>7.0</v>
      </c>
      <c r="U19" s="8">
        <v>0.0</v>
      </c>
      <c r="V19" s="8">
        <v>4.0</v>
      </c>
      <c r="W19" s="8">
        <v>0.0</v>
      </c>
      <c r="X19" s="8">
        <v>7.0</v>
      </c>
      <c r="Y19" s="8">
        <v>4.0</v>
      </c>
      <c r="Z19" s="8">
        <v>4.0</v>
      </c>
      <c r="AA19" s="8">
        <v>7.0</v>
      </c>
      <c r="AB19" s="8">
        <v>0.0</v>
      </c>
      <c r="AC19" s="8">
        <v>4.0</v>
      </c>
      <c r="AD19" s="8">
        <v>7.0</v>
      </c>
      <c r="AE19" s="8">
        <v>7.0</v>
      </c>
      <c r="AF19" s="8">
        <v>0.0</v>
      </c>
      <c r="AG19" s="8">
        <v>4.0</v>
      </c>
      <c r="AH19" s="8">
        <v>4.0</v>
      </c>
    </row>
    <row r="20" ht="109.5" customHeight="1">
      <c r="A20" s="9" t="s">
        <v>66</v>
      </c>
      <c r="B20" s="11" t="s">
        <v>67</v>
      </c>
      <c r="C20" s="11" t="s">
        <v>68</v>
      </c>
      <c r="D20" s="16"/>
      <c r="E20" s="8">
        <v>4.0</v>
      </c>
      <c r="F20" s="8">
        <v>4.0</v>
      </c>
      <c r="G20" s="8">
        <v>4.0</v>
      </c>
      <c r="H20" s="8">
        <v>4.0</v>
      </c>
      <c r="I20" s="8">
        <v>4.0</v>
      </c>
      <c r="J20" s="8">
        <v>4.0</v>
      </c>
      <c r="K20" s="8">
        <v>4.0</v>
      </c>
      <c r="L20" s="8">
        <v>4.0</v>
      </c>
      <c r="M20" s="8">
        <v>4.0</v>
      </c>
      <c r="N20" s="8">
        <v>4.0</v>
      </c>
      <c r="O20" s="8">
        <v>4.0</v>
      </c>
      <c r="P20" s="8">
        <v>4.0</v>
      </c>
      <c r="Q20" s="8">
        <v>4.0</v>
      </c>
      <c r="R20" s="8">
        <v>4.0</v>
      </c>
      <c r="S20" s="8">
        <v>4.0</v>
      </c>
      <c r="T20" s="8">
        <v>4.0</v>
      </c>
      <c r="U20" s="8">
        <v>4.0</v>
      </c>
      <c r="V20" s="8">
        <v>4.0</v>
      </c>
      <c r="W20" s="8">
        <v>0.0</v>
      </c>
      <c r="X20" s="8">
        <v>4.0</v>
      </c>
      <c r="Y20" s="8">
        <v>4.0</v>
      </c>
      <c r="Z20" s="8">
        <v>4.0</v>
      </c>
      <c r="AA20" s="8">
        <v>4.0</v>
      </c>
      <c r="AB20" s="8">
        <v>4.0</v>
      </c>
      <c r="AC20" s="8">
        <v>4.0</v>
      </c>
      <c r="AD20" s="8">
        <v>4.0</v>
      </c>
      <c r="AE20" s="8">
        <v>4.0</v>
      </c>
      <c r="AF20" s="8">
        <v>4.0</v>
      </c>
      <c r="AG20" s="8">
        <v>4.0</v>
      </c>
      <c r="AH20" s="8">
        <v>4.0</v>
      </c>
    </row>
    <row r="21" ht="109.5" customHeight="1">
      <c r="A21" s="13" t="s">
        <v>69</v>
      </c>
      <c r="B21" s="15" t="s">
        <v>70</v>
      </c>
      <c r="C21" s="15" t="s">
        <v>71</v>
      </c>
      <c r="D21" s="16"/>
      <c r="E21" s="8">
        <v>4.0</v>
      </c>
      <c r="F21" s="8">
        <v>4.0</v>
      </c>
      <c r="G21" s="8">
        <v>4.0</v>
      </c>
      <c r="H21" s="8">
        <v>4.0</v>
      </c>
      <c r="I21" s="8">
        <v>4.0</v>
      </c>
      <c r="J21" s="8">
        <v>4.0</v>
      </c>
      <c r="K21" s="8">
        <v>4.0</v>
      </c>
      <c r="L21" s="8">
        <v>4.0</v>
      </c>
      <c r="M21" s="8">
        <v>4.0</v>
      </c>
      <c r="N21" s="8">
        <v>4.0</v>
      </c>
      <c r="O21" s="8">
        <v>4.0</v>
      </c>
      <c r="P21" s="8">
        <v>0.0</v>
      </c>
      <c r="Q21" s="8">
        <v>4.0</v>
      </c>
      <c r="R21" s="8">
        <v>4.0</v>
      </c>
      <c r="S21" s="8">
        <v>4.0</v>
      </c>
      <c r="T21" s="8">
        <v>4.0</v>
      </c>
      <c r="U21" s="8">
        <v>4.0</v>
      </c>
      <c r="V21" s="8">
        <v>4.0</v>
      </c>
      <c r="W21" s="8">
        <v>0.0</v>
      </c>
      <c r="X21" s="8">
        <v>4.0</v>
      </c>
      <c r="Y21" s="8">
        <v>4.0</v>
      </c>
      <c r="Z21" s="8">
        <v>4.0</v>
      </c>
      <c r="AA21" s="8">
        <v>4.0</v>
      </c>
      <c r="AB21" s="8">
        <v>4.0</v>
      </c>
      <c r="AC21" s="8">
        <v>4.0</v>
      </c>
      <c r="AD21" s="8">
        <v>4.0</v>
      </c>
      <c r="AE21" s="8">
        <v>4.0</v>
      </c>
      <c r="AF21" s="8">
        <v>4.0</v>
      </c>
      <c r="AG21" s="8">
        <v>4.0</v>
      </c>
      <c r="AH21" s="8">
        <v>4.0</v>
      </c>
    </row>
    <row r="22" ht="109.5" customHeight="1">
      <c r="A22" s="9" t="s">
        <v>72</v>
      </c>
      <c r="B22" s="11" t="s">
        <v>73</v>
      </c>
      <c r="C22" s="11" t="s">
        <v>74</v>
      </c>
      <c r="D22" s="16"/>
      <c r="E22" s="8">
        <v>4.0</v>
      </c>
      <c r="F22" s="8">
        <v>4.0</v>
      </c>
      <c r="G22" s="8">
        <v>4.0</v>
      </c>
      <c r="H22" s="8">
        <v>4.0</v>
      </c>
      <c r="I22" s="8">
        <v>4.0</v>
      </c>
      <c r="J22" s="8">
        <v>2.0</v>
      </c>
      <c r="K22" s="8">
        <v>4.0</v>
      </c>
      <c r="L22" s="8">
        <v>0.0</v>
      </c>
      <c r="M22" s="8">
        <v>2.0</v>
      </c>
      <c r="N22" s="8">
        <v>2.0</v>
      </c>
      <c r="O22" s="8">
        <v>4.0</v>
      </c>
      <c r="P22" s="8">
        <v>2.0</v>
      </c>
      <c r="Q22" s="8">
        <v>4.0</v>
      </c>
      <c r="R22" s="8">
        <v>2.0</v>
      </c>
      <c r="S22" s="8">
        <v>0.0</v>
      </c>
      <c r="T22" s="8">
        <v>4.0</v>
      </c>
      <c r="U22" s="8">
        <v>0.0</v>
      </c>
      <c r="V22" s="8">
        <v>4.0</v>
      </c>
      <c r="W22" s="8">
        <v>0.0</v>
      </c>
      <c r="X22" s="8">
        <v>4.0</v>
      </c>
      <c r="Y22" s="8">
        <v>4.0</v>
      </c>
      <c r="Z22" s="8">
        <v>2.0</v>
      </c>
      <c r="AA22" s="8">
        <v>4.0</v>
      </c>
      <c r="AB22" s="8">
        <v>0.0</v>
      </c>
      <c r="AC22" s="8">
        <v>2.0</v>
      </c>
      <c r="AD22" s="8">
        <v>4.0</v>
      </c>
      <c r="AE22" s="8">
        <v>4.0</v>
      </c>
      <c r="AF22" s="8">
        <v>0.0</v>
      </c>
      <c r="AG22" s="8">
        <v>4.0</v>
      </c>
      <c r="AH22" s="8">
        <v>2.0</v>
      </c>
    </row>
    <row r="23" ht="109.5" customHeight="1">
      <c r="A23" s="13" t="s">
        <v>75</v>
      </c>
      <c r="B23" s="15" t="s">
        <v>76</v>
      </c>
      <c r="C23" s="15" t="s">
        <v>77</v>
      </c>
      <c r="D23" s="12">
        <v>6.0</v>
      </c>
      <c r="E23" s="8"/>
      <c r="F23" s="8">
        <v>4.0</v>
      </c>
      <c r="G23" s="8">
        <v>4.0</v>
      </c>
      <c r="H23" s="8">
        <v>4.0</v>
      </c>
      <c r="I23" s="8">
        <v>4.0</v>
      </c>
      <c r="J23" s="8">
        <v>4.0</v>
      </c>
      <c r="K23" s="8">
        <v>4.0</v>
      </c>
      <c r="L23" s="8">
        <v>4.0</v>
      </c>
      <c r="M23" s="8">
        <v>4.0</v>
      </c>
      <c r="N23" s="8">
        <v>4.0</v>
      </c>
      <c r="O23" s="8">
        <v>4.0</v>
      </c>
      <c r="P23" s="8">
        <v>0.0</v>
      </c>
      <c r="Q23" s="8">
        <v>4.0</v>
      </c>
      <c r="R23" s="8">
        <v>4.0</v>
      </c>
      <c r="S23" s="8">
        <v>4.0</v>
      </c>
      <c r="T23" s="8"/>
      <c r="U23" s="8">
        <v>4.0</v>
      </c>
      <c r="V23" s="8">
        <v>4.0</v>
      </c>
      <c r="W23" s="8">
        <v>0.0</v>
      </c>
      <c r="X23" s="8">
        <v>4.0</v>
      </c>
      <c r="Y23" s="8">
        <v>4.0</v>
      </c>
      <c r="Z23" s="8">
        <v>4.0</v>
      </c>
      <c r="AA23" s="8"/>
      <c r="AB23" s="8">
        <v>4.0</v>
      </c>
      <c r="AC23" s="8">
        <v>4.0</v>
      </c>
      <c r="AD23" s="8">
        <v>4.0</v>
      </c>
      <c r="AE23" s="8">
        <v>4.0</v>
      </c>
      <c r="AF23" s="8">
        <v>4.0</v>
      </c>
      <c r="AG23" s="8">
        <v>4.0</v>
      </c>
      <c r="AH23" s="8">
        <v>4.0</v>
      </c>
    </row>
    <row r="24" ht="109.5" customHeight="1">
      <c r="A24" s="9" t="s">
        <v>78</v>
      </c>
      <c r="B24" s="11" t="s">
        <v>79</v>
      </c>
      <c r="C24" s="11" t="s">
        <v>80</v>
      </c>
      <c r="D24" s="12">
        <v>7.0</v>
      </c>
      <c r="E24" s="8"/>
      <c r="F24" s="8">
        <v>4.0</v>
      </c>
      <c r="G24" s="8">
        <v>4.0</v>
      </c>
      <c r="H24" s="8">
        <v>4.0</v>
      </c>
      <c r="I24" s="8">
        <v>4.0</v>
      </c>
      <c r="J24" s="8">
        <v>2.0</v>
      </c>
      <c r="K24" s="8">
        <v>4.0</v>
      </c>
      <c r="L24" s="8">
        <v>0.0</v>
      </c>
      <c r="M24" s="8">
        <v>2.0</v>
      </c>
      <c r="N24" s="8">
        <v>2.0</v>
      </c>
      <c r="O24" s="8">
        <v>4.0</v>
      </c>
      <c r="P24" s="8">
        <v>2.0</v>
      </c>
      <c r="Q24" s="8">
        <v>4.0</v>
      </c>
      <c r="R24" s="8">
        <v>2.0</v>
      </c>
      <c r="S24" s="8">
        <v>0.0</v>
      </c>
      <c r="T24" s="8"/>
      <c r="U24" s="8">
        <v>0.0</v>
      </c>
      <c r="V24" s="8">
        <v>4.0</v>
      </c>
      <c r="W24" s="8">
        <v>0.0</v>
      </c>
      <c r="X24" s="8">
        <v>4.0</v>
      </c>
      <c r="Y24" s="8">
        <v>4.0</v>
      </c>
      <c r="Z24" s="8">
        <v>2.0</v>
      </c>
      <c r="AA24" s="8"/>
      <c r="AB24" s="8">
        <v>0.0</v>
      </c>
      <c r="AC24" s="8">
        <v>2.0</v>
      </c>
      <c r="AD24" s="8">
        <v>4.0</v>
      </c>
      <c r="AE24" s="8">
        <v>4.0</v>
      </c>
      <c r="AF24" s="8">
        <v>0.0</v>
      </c>
      <c r="AG24" s="8">
        <v>4.0</v>
      </c>
      <c r="AH24" s="8">
        <v>2.0</v>
      </c>
    </row>
    <row r="25" ht="15.75" customHeight="1"/>
    <row r="26" ht="15.75" customHeight="1">
      <c r="C26" s="17" t="s">
        <v>81</v>
      </c>
      <c r="D26" s="18">
        <f t="shared" ref="D26:AH26" si="1">SUM(D6:D24)</f>
        <v>24</v>
      </c>
      <c r="E26" s="18">
        <f t="shared" si="1"/>
        <v>100</v>
      </c>
      <c r="F26" s="18">
        <f t="shared" si="1"/>
        <v>103</v>
      </c>
      <c r="G26" s="18">
        <f t="shared" si="1"/>
        <v>81</v>
      </c>
      <c r="H26" s="18">
        <f t="shared" si="1"/>
        <v>104</v>
      </c>
      <c r="I26" s="18">
        <f t="shared" si="1"/>
        <v>83</v>
      </c>
      <c r="J26" s="18">
        <f t="shared" si="1"/>
        <v>55</v>
      </c>
      <c r="K26" s="18">
        <f t="shared" si="1"/>
        <v>104</v>
      </c>
      <c r="L26" s="18">
        <f t="shared" si="1"/>
        <v>46</v>
      </c>
      <c r="M26" s="18">
        <f t="shared" si="1"/>
        <v>102</v>
      </c>
      <c r="N26" s="18">
        <f t="shared" si="1"/>
        <v>73</v>
      </c>
      <c r="O26" s="18">
        <f t="shared" si="1"/>
        <v>89</v>
      </c>
      <c r="P26" s="18">
        <f t="shared" si="1"/>
        <v>28</v>
      </c>
      <c r="Q26" s="18">
        <f t="shared" si="1"/>
        <v>106</v>
      </c>
      <c r="R26" s="18">
        <f t="shared" si="1"/>
        <v>85</v>
      </c>
      <c r="S26" s="18">
        <f t="shared" si="1"/>
        <v>50</v>
      </c>
      <c r="T26" s="18">
        <f t="shared" si="1"/>
        <v>100</v>
      </c>
      <c r="U26" s="18">
        <f t="shared" si="1"/>
        <v>66</v>
      </c>
      <c r="V26" s="18">
        <f t="shared" si="1"/>
        <v>85</v>
      </c>
      <c r="W26" s="18">
        <f t="shared" si="1"/>
        <v>25</v>
      </c>
      <c r="X26" s="18">
        <f t="shared" si="1"/>
        <v>101</v>
      </c>
      <c r="Y26" s="18">
        <f t="shared" si="1"/>
        <v>75</v>
      </c>
      <c r="Z26" s="18">
        <f t="shared" si="1"/>
        <v>67</v>
      </c>
      <c r="AA26" s="18">
        <f t="shared" si="1"/>
        <v>100</v>
      </c>
      <c r="AB26" s="18">
        <f t="shared" si="1"/>
        <v>38</v>
      </c>
      <c r="AC26" s="18">
        <f t="shared" si="1"/>
        <v>82</v>
      </c>
      <c r="AD26" s="18">
        <f t="shared" si="1"/>
        <v>100</v>
      </c>
      <c r="AE26" s="18">
        <f t="shared" si="1"/>
        <v>80</v>
      </c>
      <c r="AF26" s="18">
        <f t="shared" si="1"/>
        <v>42</v>
      </c>
      <c r="AG26" s="18">
        <f t="shared" si="1"/>
        <v>96</v>
      </c>
      <c r="AH26" s="18">
        <f t="shared" si="1"/>
        <v>70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6:D6"/>
    <mergeCell ref="A14:D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10.0"/>
    <col customWidth="1" min="4" max="4" width="65.0"/>
    <col customWidth="1" min="5" max="5" width="22.0"/>
    <col customWidth="1" min="6" max="26" width="8.71"/>
  </cols>
  <sheetData>
    <row r="2">
      <c r="A2" s="1" t="s">
        <v>82</v>
      </c>
    </row>
    <row r="3">
      <c r="A3" s="19" t="s">
        <v>83</v>
      </c>
    </row>
    <row r="5" ht="25.5" customHeight="1">
      <c r="A5" s="3" t="s">
        <v>84</v>
      </c>
      <c r="B5" s="3" t="s">
        <v>85</v>
      </c>
      <c r="C5" s="3" t="s">
        <v>86</v>
      </c>
      <c r="D5" s="3" t="s">
        <v>87</v>
      </c>
      <c r="E5" s="3" t="s">
        <v>88</v>
      </c>
    </row>
    <row r="6" ht="24.0" customHeight="1">
      <c r="A6" s="20" t="s">
        <v>89</v>
      </c>
      <c r="B6" s="21" t="s">
        <v>90</v>
      </c>
      <c r="C6" s="20">
        <v>12.0</v>
      </c>
      <c r="D6" s="22" t="s">
        <v>91</v>
      </c>
      <c r="E6" s="20">
        <v>10.0</v>
      </c>
    </row>
    <row r="7" ht="24.0" customHeight="1">
      <c r="A7" s="23" t="s">
        <v>92</v>
      </c>
      <c r="B7" s="24" t="s">
        <v>93</v>
      </c>
      <c r="C7" s="23">
        <v>16.0</v>
      </c>
      <c r="D7" s="25" t="s">
        <v>94</v>
      </c>
      <c r="E7" s="23">
        <v>15.0</v>
      </c>
    </row>
    <row r="8" ht="24.0" customHeight="1">
      <c r="A8" s="20" t="s">
        <v>95</v>
      </c>
      <c r="B8" s="21" t="s">
        <v>96</v>
      </c>
      <c r="C8" s="20">
        <v>8.0</v>
      </c>
      <c r="D8" s="22" t="s">
        <v>97</v>
      </c>
      <c r="E8" s="20">
        <v>5.0</v>
      </c>
    </row>
    <row r="9" ht="24.0" customHeight="1">
      <c r="A9" s="23" t="s">
        <v>98</v>
      </c>
      <c r="B9" s="24" t="s">
        <v>99</v>
      </c>
      <c r="C9" s="23">
        <v>14.0</v>
      </c>
      <c r="D9" s="25" t="s">
        <v>100</v>
      </c>
      <c r="E9" s="23">
        <v>15.0</v>
      </c>
    </row>
    <row r="10" ht="24.0" customHeight="1">
      <c r="A10" s="20" t="s">
        <v>101</v>
      </c>
      <c r="B10" s="21" t="s">
        <v>102</v>
      </c>
      <c r="C10" s="20">
        <v>12.0</v>
      </c>
      <c r="D10" s="22" t="s">
        <v>103</v>
      </c>
      <c r="E10" s="20">
        <v>10.0</v>
      </c>
    </row>
    <row r="11" ht="24.0" customHeight="1">
      <c r="A11" s="23" t="s">
        <v>104</v>
      </c>
      <c r="B11" s="24" t="s">
        <v>105</v>
      </c>
      <c r="C11" s="23">
        <v>12.0</v>
      </c>
      <c r="D11" s="25" t="s">
        <v>106</v>
      </c>
      <c r="E11" s="23">
        <v>10.0</v>
      </c>
    </row>
    <row r="12" ht="24.0" customHeight="1">
      <c r="A12" s="20" t="s">
        <v>107</v>
      </c>
      <c r="B12" s="21" t="s">
        <v>108</v>
      </c>
      <c r="C12" s="20">
        <v>14.0</v>
      </c>
      <c r="D12" s="22" t="s">
        <v>109</v>
      </c>
      <c r="E12" s="20">
        <v>15.0</v>
      </c>
    </row>
    <row r="13" ht="24.0" customHeight="1">
      <c r="A13" s="23" t="s">
        <v>110</v>
      </c>
      <c r="B13" s="24" t="s">
        <v>111</v>
      </c>
      <c r="C13" s="23">
        <v>12.0</v>
      </c>
      <c r="D13" s="25" t="s">
        <v>112</v>
      </c>
      <c r="E13" s="23">
        <v>10.0</v>
      </c>
    </row>
    <row r="14">
      <c r="A14" s="26" t="s">
        <v>113</v>
      </c>
      <c r="B14" s="27"/>
      <c r="C14" s="28">
        <f>SUM(C6:C13)</f>
        <v>100</v>
      </c>
      <c r="D14" s="29" t="s">
        <v>114</v>
      </c>
      <c r="E14" s="26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